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oene-my.sharepoint.com/personal/estela_leandro_floene_pt/Documents/Internship/AI Agent/"/>
    </mc:Choice>
  </mc:AlternateContent>
  <xr:revisionPtr revIDLastSave="8" documentId="11_BCA2BBD4977B340F97A41FA566184FBF9880D315" xr6:coauthVersionLast="47" xr6:coauthVersionMax="47" xr10:uidLastSave="{F977055B-F412-4AC9-A9BC-D72299E4D265}"/>
  <bookViews>
    <workbookView xWindow="28680" yWindow="-120" windowWidth="29040" windowHeight="15720" activeTab="1" xr2:uid="{00000000-000D-0000-FFFF-FFFF00000000}"/>
  </bookViews>
  <sheets>
    <sheet name="Instruções" sheetId="5" r:id="rId1"/>
    <sheet name="RSU" sheetId="1" r:id="rId2"/>
    <sheet name="Agropecuário e Florestal" sheetId="2" r:id="rId3"/>
    <sheet name="ETAR" sheetId="3" r:id="rId4"/>
    <sheet name="Resumo Consolidad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4" i="4"/>
  <c r="I9" i="3"/>
  <c r="H9" i="3"/>
  <c r="D6" i="4" s="1"/>
  <c r="G9" i="3"/>
  <c r="J8" i="3"/>
  <c r="K8" i="3" s="1"/>
  <c r="J7" i="3"/>
  <c r="K7" i="3" s="1"/>
  <c r="J6" i="3"/>
  <c r="K6" i="3" s="1"/>
  <c r="K5" i="3"/>
  <c r="J5" i="3"/>
  <c r="J4" i="3"/>
  <c r="J9" i="3" s="1"/>
  <c r="E6" i="4" s="1"/>
  <c r="J9" i="2"/>
  <c r="I9" i="2"/>
  <c r="D5" i="4" s="1"/>
  <c r="H9" i="2"/>
  <c r="G9" i="2"/>
  <c r="F9" i="2"/>
  <c r="K8" i="2"/>
  <c r="L8" i="2" s="1"/>
  <c r="K7" i="2"/>
  <c r="L7" i="2" s="1"/>
  <c r="K6" i="2"/>
  <c r="L6" i="2" s="1"/>
  <c r="L5" i="2"/>
  <c r="K5" i="2"/>
  <c r="K4" i="2"/>
  <c r="K9" i="2" s="1"/>
  <c r="E5" i="4" s="1"/>
  <c r="G9" i="1"/>
  <c r="D4" i="4" s="1"/>
  <c r="D7" i="4" s="1"/>
  <c r="F9" i="1"/>
  <c r="I8" i="1"/>
  <c r="J8" i="1" s="1"/>
  <c r="K8" i="1" s="1"/>
  <c r="I7" i="1"/>
  <c r="J7" i="1" s="1"/>
  <c r="K7" i="1" s="1"/>
  <c r="I6" i="1"/>
  <c r="I9" i="1" s="1"/>
  <c r="J5" i="1"/>
  <c r="K5" i="1" s="1"/>
  <c r="I5" i="1"/>
  <c r="I4" i="1"/>
  <c r="J4" i="1" s="1"/>
  <c r="K4" i="1" l="1"/>
  <c r="J6" i="1"/>
  <c r="K6" i="1" s="1"/>
  <c r="L4" i="2"/>
  <c r="L9" i="2" s="1"/>
  <c r="F5" i="4" s="1"/>
  <c r="K4" i="3"/>
  <c r="K9" i="3" s="1"/>
  <c r="F6" i="4" s="1"/>
  <c r="K9" i="1" l="1"/>
  <c r="F4" i="4" s="1"/>
  <c r="J9" i="1"/>
  <c r="E4" i="4" s="1"/>
  <c r="E7" i="4" s="1"/>
  <c r="F7" i="4" l="1"/>
  <c r="G4" i="4"/>
  <c r="G5" i="4"/>
  <c r="G6" i="4"/>
  <c r="G7" i="4" l="1"/>
</calcChain>
</file>

<file path=xl/sharedStrings.xml><?xml version="1.0" encoding="utf-8"?>
<sst xmlns="http://schemas.openxmlformats.org/spreadsheetml/2006/main" count="164" uniqueCount="122">
  <si>
    <t>BASE DE DADOS FEEDSTOCK — Eixo RSU (Resíduos Sólidos Urbanos – Fração Orgânica)</t>
  </si>
  <si>
    <t>Fontes: INE (Recenseamento Agrícola), GPP (Ministério da Agricultura) | Atualizado: 20/04/2026</t>
  </si>
  <si>
    <t>Código INE</t>
  </si>
  <si>
    <t>Concelho</t>
  </si>
  <si>
    <t>NUT II</t>
  </si>
  <si>
    <t>Lat</t>
  </si>
  <si>
    <t>Lon</t>
  </si>
  <si>
    <t>População (hab)</t>
  </si>
  <si>
    <t>Resíduos Urbanos (t/ano)</t>
  </si>
  <si>
    <t>Fração Orgânica (%)</t>
  </si>
  <si>
    <t>Fração Orgânica (t/ano)</t>
  </si>
  <si>
    <t>Potencial Biogás (Nm³/ano)</t>
  </si>
  <si>
    <t>Potencial Biometano GWh/ano</t>
  </si>
  <si>
    <t>Fonte / Observações</t>
  </si>
  <si>
    <t>1106</t>
  </si>
  <si>
    <t>Lisboa</t>
  </si>
  <si>
    <t>AML</t>
  </si>
  <si>
    <t>INE 2021</t>
  </si>
  <si>
    <t>1311</t>
  </si>
  <si>
    <t>Porto</t>
  </si>
  <si>
    <t>Norte</t>
  </si>
  <si>
    <t>0601</t>
  </si>
  <si>
    <t>Coimbra</t>
  </si>
  <si>
    <t>Centro</t>
  </si>
  <si>
    <t>1801</t>
  </si>
  <si>
    <t>Setúbal</t>
  </si>
  <si>
    <t>GPP 2022</t>
  </si>
  <si>
    <t>0803</t>
  </si>
  <si>
    <t>Faro</t>
  </si>
  <si>
    <t>Algarve</t>
  </si>
  <si>
    <t>TOTAL</t>
  </si>
  <si>
    <t>BASE DE DADOS FEEDSTOCK — Eixo Agropecuário e Florestal</t>
  </si>
  <si>
    <t>Fontes: APA (RARU), Portal SRIR | Atualizado: 20/04/2026</t>
  </si>
  <si>
    <t>Bovinos (cabeças)</t>
  </si>
  <si>
    <t>Suínos (cabeças)</t>
  </si>
  <si>
    <t>Aves (cabeças)</t>
  </si>
  <si>
    <t>Resíduos Agro (t/ano)</t>
  </si>
  <si>
    <t>Resíduos Florestais (t/ano)</t>
  </si>
  <si>
    <t>APA RARU 2022</t>
  </si>
  <si>
    <t>1407</t>
  </si>
  <si>
    <t>Évora</t>
  </si>
  <si>
    <t>Alentejo</t>
  </si>
  <si>
    <t>0204</t>
  </si>
  <si>
    <t>Barcelos</t>
  </si>
  <si>
    <t>SRIR 2022</t>
  </si>
  <si>
    <t>1504</t>
  </si>
  <si>
    <t>Santarém</t>
  </si>
  <si>
    <t>0209</t>
  </si>
  <si>
    <t>Braga</t>
  </si>
  <si>
    <t>BASE DE DADOS FEEDSTOCK — Eixo ETAR (Águas Residuais e Lamas)</t>
  </si>
  <si>
    <t>Fontes: ERSAR (RASARP), Águas de Portugal (AdP) | Atualizado: 20/04/2026</t>
  </si>
  <si>
    <t>Código ETAR</t>
  </si>
  <si>
    <t>Nome ETAR</t>
  </si>
  <si>
    <t>Caudal (m³/dia)</t>
  </si>
  <si>
    <t>Lamas Produzidas (t MS/ano)</t>
  </si>
  <si>
    <t>Lamas c/ Digestão Anaeróbia (t/ano)</t>
  </si>
  <si>
    <t>Operador / Fonte</t>
  </si>
  <si>
    <t>ETAR-LX-01</t>
  </si>
  <si>
    <t>ETAR Beirolas</t>
  </si>
  <si>
    <t>Águas de Lisboa</t>
  </si>
  <si>
    <t>ETAR-PT-01</t>
  </si>
  <si>
    <t>ETAR Sul</t>
  </si>
  <si>
    <t>Águas do Porto</t>
  </si>
  <si>
    <t>ETAR-CB-01</t>
  </si>
  <si>
    <t>ETAR Coimbra</t>
  </si>
  <si>
    <t>AdP – Águas do Centro</t>
  </si>
  <si>
    <t>ETAR-AV-01</t>
  </si>
  <si>
    <t>ETAR Cacia</t>
  </si>
  <si>
    <t>Aveiro</t>
  </si>
  <si>
    <t>Águas do Centro Litoral</t>
  </si>
  <si>
    <t>ETAR-FA-01</t>
  </si>
  <si>
    <t>ETAR Faro/Olhão</t>
  </si>
  <si>
    <t>ERSAR RASARP 2022</t>
  </si>
  <si>
    <t>RESUMO CONSOLIDADO — Potencial Biometano por Eixo de Feedstock</t>
  </si>
  <si>
    <t>Gerado automaticamente a partir das folhas RSU, Agropecuário e ETAR | 20/04/2026</t>
  </si>
  <si>
    <t>Eixo Feedstock</t>
  </si>
  <si>
    <t>Fonte de Dados</t>
  </si>
  <si>
    <t>Nº Concelhos / ETARs</t>
  </si>
  <si>
    <t>Total Resíduos (t/ano)</t>
  </si>
  <si>
    <t>Potencial Biometano (GWh/ano)</t>
  </si>
  <si>
    <t>% do Total</t>
  </si>
  <si>
    <t>RSU – Fração Orgânica</t>
  </si>
  <si>
    <t>INE / GPP</t>
  </si>
  <si>
    <t>Agropecuário e Florestal</t>
  </si>
  <si>
    <t>APA / SRIR / GPP</t>
  </si>
  <si>
    <t>ETAR – Águas Residuais e Lamas</t>
  </si>
  <si>
    <t>ERSAR / AdP</t>
  </si>
  <si>
    <t>TOTAL GERAL</t>
  </si>
  <si>
    <t>INSTRUÇÕES DE UTILIZAÇÃO</t>
  </si>
  <si>
    <t>ESTRUTURA DO FICHEIRO</t>
  </si>
  <si>
    <t>Folha RSU</t>
  </si>
  <si>
    <t>Dados de resíduos sólidos urbanos por concelho. Fontes: INE e GPP.</t>
  </si>
  <si>
    <t>Folha Agropecuário e Florestal</t>
  </si>
  <si>
    <t>Dados de efluentes pecuários e resíduos florestais. Fontes: APA, SRIR, GPP.</t>
  </si>
  <si>
    <t>Folha ETAR</t>
  </si>
  <si>
    <t>Dados das estações de tratamento de águas residuais. Fontes: ERSAR, AdP.</t>
  </si>
  <si>
    <t>Folha Resumo Consolidado</t>
  </si>
  <si>
    <t>Agregação automática dos 3 eixos. Não editar manualmente.</t>
  </si>
  <si>
    <t>COMO ADICIONAR DADOS</t>
  </si>
  <si>
    <t>1.</t>
  </si>
  <si>
    <t>Inserir nova linha antes da linha TOTAL em cada folha.</t>
  </si>
  <si>
    <t>2.</t>
  </si>
  <si>
    <t>Preencher: Código INE, Concelho, NUT II, Lat, Lon e campos de volume.</t>
  </si>
  <si>
    <t>3.</t>
  </si>
  <si>
    <t>As colunas de Potencial (GWh/ano) são calculadas automaticamente por fórmula.</t>
  </si>
  <si>
    <t>4.</t>
  </si>
  <si>
    <t>Campo 'Fonte / Observações': indicar sempre a fonte e o ano dos dados.</t>
  </si>
  <si>
    <t>CAMPOS CRÍTICOS PARA O AI AGENT</t>
  </si>
  <si>
    <t>Chave primária usada para geocodificação. Formato: 4 dígitos (ex: 1106).</t>
  </si>
  <si>
    <t>Campo principal alimentado ao dashboard. Verificar sempre a fórmula.</t>
  </si>
  <si>
    <t>Usado para filtros no mapa. Valores aceites: Norte, Centro, AML, Alentejo, Algarve.</t>
  </si>
  <si>
    <t>Estado Contrato Floene</t>
  </si>
  <si>
    <t>A adicionar: Prospecção / Em negociação / Contrato assinado / Sem interesse.</t>
  </si>
  <si>
    <t>FÓRMULAS DE CÁLCULO UTILIZADAS</t>
  </si>
  <si>
    <t>RSU – Potencial biogás</t>
  </si>
  <si>
    <t>Fração Orgânica (t/ano) × 120 Nm³/t (fator médio de conversão)</t>
  </si>
  <si>
    <t>Agropecuário – Potencial biogás</t>
  </si>
  <si>
    <t>Resíduos Agro (t) × 80 Nm³/t + Resíduos Florestais (t) × 60 Nm³/t</t>
  </si>
  <si>
    <t>ETAR – Potencial biogás</t>
  </si>
  <si>
    <t>Lamas produzidas (t MS/ano) × 300 Nm³/t MS</t>
  </si>
  <si>
    <t>Biometano (GWh/ano)</t>
  </si>
  <si>
    <t>Biogás (Nm³/ano) × 0,0055 GWh/1000 Nm³ (poder calorífico CH4 ~55%)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</si>
</sst>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9"/>
      <color rgb="FF1A1A1A"/>
      <name val="Arial"/>
    </font>
    <font>
      <sz val="9"/>
      <color rgb="FF1A1A1A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3EF"/>
      </patternFill>
    </fill>
    <fill>
      <patternFill patternType="solid">
        <fgColor rgb="FFE1F5EE"/>
      </patternFill>
    </fill>
    <fill>
      <patternFill patternType="solid">
        <fgColor rgb="FFC17A2B"/>
      </patternFill>
    </fill>
    <fill>
      <patternFill patternType="solid">
        <fgColor rgb="FFFAEEDA"/>
      </patternFill>
    </fill>
    <fill>
      <patternFill patternType="solid">
        <fgColor rgb="FF0C5DA5"/>
      </patternFill>
    </fill>
    <fill>
      <patternFill patternType="solid">
        <fgColor rgb="FFE6F1FB"/>
      </patternFill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5" fillId="4" borderId="0" xfId="0" applyFont="1" applyFill="1"/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5" fillId="6" borderId="0" xfId="0" applyFont="1" applyFill="1"/>
    <xf numFmtId="0" fontId="6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5" fillId="8" borderId="0" xfId="0" applyFont="1" applyFill="1"/>
    <xf numFmtId="0" fontId="6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3" fontId="4" fillId="8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3" fontId="8" fillId="9" borderId="1" xfId="0" applyNumberFormat="1" applyFont="1" applyFill="1" applyBorder="1" applyAlignment="1">
      <alignment horizontal="center"/>
    </xf>
    <xf numFmtId="165" fontId="8" fillId="9" borderId="1" xfId="0" applyNumberFormat="1" applyFont="1" applyFill="1" applyBorder="1" applyAlignment="1">
      <alignment horizontal="center"/>
    </xf>
    <xf numFmtId="0" fontId="0" fillId="0" borderId="1" xfId="0" applyBorder="1"/>
    <xf numFmtId="0" fontId="9" fillId="3" borderId="1" xfId="0" applyFont="1" applyFill="1" applyBorder="1"/>
    <xf numFmtId="0" fontId="10" fillId="2" borderId="1" xfId="0" applyFont="1" applyFill="1" applyBorder="1"/>
    <xf numFmtId="0" fontId="2" fillId="0" borderId="0" xfId="0" applyFont="1"/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9" borderId="1" xfId="0" applyFont="1" applyFill="1" applyBorder="1"/>
    <xf numFmtId="0" fontId="0" fillId="0" borderId="2" xfId="0" applyBorder="1"/>
    <xf numFmtId="0" fontId="7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1" fillId="12" borderId="0" xfId="0" applyFont="1" applyFill="1" applyAlignment="1">
      <alignment horizontal="center" vertical="center"/>
    </xf>
    <xf numFmtId="0" fontId="0" fillId="12" borderId="0" xfId="0" applyFill="1"/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sqref="A1:C1"/>
    </sheetView>
  </sheetViews>
  <sheetFormatPr defaultRowHeight="14.5" x14ac:dyDescent="0.35"/>
  <cols>
    <col min="1" max="1" width="36" customWidth="1"/>
    <col min="2" max="2" width="72" customWidth="1"/>
  </cols>
  <sheetData>
    <row r="1" spans="1:3" ht="30" customHeight="1" x14ac:dyDescent="0.35">
      <c r="A1" s="43" t="s">
        <v>88</v>
      </c>
      <c r="B1" s="37"/>
      <c r="C1" s="37"/>
    </row>
    <row r="2" spans="1:3" x14ac:dyDescent="0.35">
      <c r="A2" s="33"/>
      <c r="B2" s="33"/>
    </row>
    <row r="3" spans="1:3" ht="20" customHeight="1" x14ac:dyDescent="0.35">
      <c r="A3" s="44" t="s">
        <v>89</v>
      </c>
      <c r="B3" s="37"/>
      <c r="C3" s="37"/>
    </row>
    <row r="4" spans="1:3" ht="18" customHeight="1" x14ac:dyDescent="0.35">
      <c r="A4" s="34" t="s">
        <v>90</v>
      </c>
      <c r="B4" s="35" t="s">
        <v>91</v>
      </c>
    </row>
    <row r="5" spans="1:3" ht="18" customHeight="1" x14ac:dyDescent="0.35">
      <c r="A5" s="34" t="s">
        <v>92</v>
      </c>
      <c r="B5" s="35" t="s">
        <v>93</v>
      </c>
    </row>
    <row r="6" spans="1:3" ht="18" customHeight="1" x14ac:dyDescent="0.35">
      <c r="A6" s="34" t="s">
        <v>94</v>
      </c>
      <c r="B6" s="35" t="s">
        <v>95</v>
      </c>
    </row>
    <row r="7" spans="1:3" ht="18" customHeight="1" x14ac:dyDescent="0.35">
      <c r="A7" s="34" t="s">
        <v>96</v>
      </c>
      <c r="B7" s="35" t="s">
        <v>97</v>
      </c>
    </row>
    <row r="8" spans="1:3" x14ac:dyDescent="0.35">
      <c r="A8" s="33"/>
      <c r="B8" s="33"/>
    </row>
    <row r="9" spans="1:3" ht="20" customHeight="1" x14ac:dyDescent="0.35">
      <c r="A9" s="44" t="s">
        <v>98</v>
      </c>
      <c r="B9" s="37"/>
      <c r="C9" s="37"/>
    </row>
    <row r="10" spans="1:3" ht="18" customHeight="1" x14ac:dyDescent="0.35">
      <c r="A10" s="34" t="s">
        <v>99</v>
      </c>
      <c r="B10" s="35" t="s">
        <v>100</v>
      </c>
    </row>
    <row r="11" spans="1:3" ht="18" customHeight="1" x14ac:dyDescent="0.35">
      <c r="A11" s="34" t="s">
        <v>101</v>
      </c>
      <c r="B11" s="35" t="s">
        <v>102</v>
      </c>
    </row>
    <row r="12" spans="1:3" ht="18" customHeight="1" x14ac:dyDescent="0.35">
      <c r="A12" s="34" t="s">
        <v>103</v>
      </c>
      <c r="B12" s="35" t="s">
        <v>104</v>
      </c>
    </row>
    <row r="13" spans="1:3" ht="18" customHeight="1" x14ac:dyDescent="0.35">
      <c r="A13" s="34" t="s">
        <v>105</v>
      </c>
      <c r="B13" s="35" t="s">
        <v>106</v>
      </c>
    </row>
    <row r="14" spans="1:3" x14ac:dyDescent="0.35">
      <c r="A14" s="33"/>
      <c r="B14" s="33"/>
    </row>
    <row r="15" spans="1:3" ht="20" customHeight="1" x14ac:dyDescent="0.35">
      <c r="A15" s="44" t="s">
        <v>107</v>
      </c>
      <c r="B15" s="37"/>
      <c r="C15" s="37"/>
    </row>
    <row r="16" spans="1:3" ht="18" customHeight="1" x14ac:dyDescent="0.35">
      <c r="A16" s="34" t="s">
        <v>2</v>
      </c>
      <c r="B16" s="35" t="s">
        <v>108</v>
      </c>
    </row>
    <row r="17" spans="1:3" ht="18" customHeight="1" x14ac:dyDescent="0.35">
      <c r="A17" s="34" t="s">
        <v>12</v>
      </c>
      <c r="B17" s="35" t="s">
        <v>109</v>
      </c>
    </row>
    <row r="18" spans="1:3" ht="18" customHeight="1" x14ac:dyDescent="0.35">
      <c r="A18" s="34" t="s">
        <v>4</v>
      </c>
      <c r="B18" s="35" t="s">
        <v>110</v>
      </c>
    </row>
    <row r="19" spans="1:3" ht="18" customHeight="1" x14ac:dyDescent="0.35">
      <c r="A19" s="34" t="s">
        <v>111</v>
      </c>
      <c r="B19" s="35" t="s">
        <v>112</v>
      </c>
    </row>
    <row r="20" spans="1:3" x14ac:dyDescent="0.35">
      <c r="A20" s="33"/>
      <c r="B20" s="33"/>
    </row>
    <row r="21" spans="1:3" ht="20" customHeight="1" x14ac:dyDescent="0.35">
      <c r="A21" s="44" t="s">
        <v>113</v>
      </c>
      <c r="B21" s="37"/>
      <c r="C21" s="37"/>
    </row>
    <row r="22" spans="1:3" ht="18" customHeight="1" x14ac:dyDescent="0.35">
      <c r="A22" s="34" t="s">
        <v>114</v>
      </c>
      <c r="B22" s="35" t="s">
        <v>115</v>
      </c>
    </row>
    <row r="23" spans="1:3" ht="18" customHeight="1" x14ac:dyDescent="0.35">
      <c r="A23" s="34" t="s">
        <v>116</v>
      </c>
      <c r="B23" s="35" t="s">
        <v>117</v>
      </c>
    </row>
    <row r="24" spans="1:3" ht="18" customHeight="1" x14ac:dyDescent="0.35">
      <c r="A24" s="34" t="s">
        <v>118</v>
      </c>
      <c r="B24" s="35" t="s">
        <v>119</v>
      </c>
    </row>
    <row r="25" spans="1:3" ht="18" customHeight="1" x14ac:dyDescent="0.35">
      <c r="A25" s="34" t="s">
        <v>120</v>
      </c>
      <c r="B25" s="35" t="s">
        <v>121</v>
      </c>
    </row>
  </sheetData>
  <mergeCells count="5">
    <mergeCell ref="A1:C1"/>
    <mergeCell ref="A9:C9"/>
    <mergeCell ref="A3:C3"/>
    <mergeCell ref="A21:C21"/>
    <mergeCell ref="A15:C15"/>
  </mergeCells>
  <pageMargins left="0.75" right="0.75" top="1" bottom="1" header="0.5" footer="0.5"/>
  <headerFooter>
    <oddHeader>&amp;L&amp;"Aptos"&amp;10&amp;K000000 Internal - Unprotected&amp;1#_x000D_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3" topLeftCell="A4" activePane="bottomLeft" state="frozen"/>
      <selection pane="bottomLeft" activeCell="A2" sqref="A2:L2"/>
    </sheetView>
  </sheetViews>
  <sheetFormatPr defaultRowHeight="14.5" x14ac:dyDescent="0.35"/>
  <cols>
    <col min="1" max="1" width="12" customWidth="1"/>
    <col min="2" max="2" width="18" customWidth="1"/>
    <col min="3" max="3" width="14" customWidth="1"/>
    <col min="4" max="5" width="10" customWidth="1"/>
    <col min="6" max="6" width="16" customWidth="1"/>
    <col min="7" max="7" width="22" customWidth="1"/>
    <col min="8" max="8" width="18" customWidth="1"/>
    <col min="9" max="11" width="22" customWidth="1"/>
    <col min="12" max="12" width="30" customWidth="1"/>
  </cols>
  <sheetData>
    <row r="1" spans="1:12" ht="28" customHeight="1" x14ac:dyDescent="0.3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3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34" customHeight="1" x14ac:dyDescent="0.35">
      <c r="A3" s="47" t="s">
        <v>2</v>
      </c>
      <c r="B3" s="47" t="s">
        <v>3</v>
      </c>
      <c r="C3" s="47" t="s">
        <v>4</v>
      </c>
      <c r="D3" s="47" t="s">
        <v>5</v>
      </c>
      <c r="E3" s="47" t="s">
        <v>6</v>
      </c>
      <c r="F3" s="47" t="s">
        <v>7</v>
      </c>
      <c r="G3" s="47" t="s">
        <v>8</v>
      </c>
      <c r="H3" s="47" t="s">
        <v>9</v>
      </c>
      <c r="I3" s="47" t="s">
        <v>10</v>
      </c>
      <c r="J3" s="47" t="s">
        <v>11</v>
      </c>
      <c r="K3" s="47" t="s">
        <v>12</v>
      </c>
      <c r="L3" s="47" t="s">
        <v>13</v>
      </c>
    </row>
    <row r="4" spans="1:12" x14ac:dyDescent="0.35">
      <c r="A4" s="1" t="s">
        <v>14</v>
      </c>
      <c r="B4" s="1" t="s">
        <v>15</v>
      </c>
      <c r="C4" s="1" t="s">
        <v>16</v>
      </c>
      <c r="D4" s="1">
        <v>38.722299999999997</v>
      </c>
      <c r="E4" s="1">
        <v>-9.1393000000000004</v>
      </c>
      <c r="F4" s="2">
        <v>544851</v>
      </c>
      <c r="G4" s="2">
        <v>212000</v>
      </c>
      <c r="H4" s="3">
        <v>35</v>
      </c>
      <c r="I4" s="2">
        <f>G4*H4/100</f>
        <v>74200</v>
      </c>
      <c r="J4" s="2">
        <f>I4*120</f>
        <v>8904000</v>
      </c>
      <c r="K4" s="4">
        <f>J4*0.0055/1000</f>
        <v>48.972000000000001</v>
      </c>
      <c r="L4" s="1" t="s">
        <v>17</v>
      </c>
    </row>
    <row r="5" spans="1:12" x14ac:dyDescent="0.35">
      <c r="A5" s="5" t="s">
        <v>18</v>
      </c>
      <c r="B5" s="5" t="s">
        <v>19</v>
      </c>
      <c r="C5" s="5" t="s">
        <v>20</v>
      </c>
      <c r="D5" s="5">
        <v>41.157899999999998</v>
      </c>
      <c r="E5" s="5">
        <v>-8.6290999999999993</v>
      </c>
      <c r="F5" s="6">
        <v>231962</v>
      </c>
      <c r="G5" s="6">
        <v>95000</v>
      </c>
      <c r="H5" s="7">
        <v>33</v>
      </c>
      <c r="I5" s="6">
        <f>G5*H5/100</f>
        <v>31350</v>
      </c>
      <c r="J5" s="6">
        <f>I5*120</f>
        <v>3762000</v>
      </c>
      <c r="K5" s="8">
        <f>J5*0.0055/1000</f>
        <v>20.690999999999999</v>
      </c>
      <c r="L5" s="5" t="s">
        <v>17</v>
      </c>
    </row>
    <row r="6" spans="1:12" x14ac:dyDescent="0.35">
      <c r="A6" s="1" t="s">
        <v>21</v>
      </c>
      <c r="B6" s="1" t="s">
        <v>22</v>
      </c>
      <c r="C6" s="1" t="s">
        <v>23</v>
      </c>
      <c r="D6" s="1">
        <v>40.203299999999999</v>
      </c>
      <c r="E6" s="1">
        <v>-8.4102999999999994</v>
      </c>
      <c r="F6" s="2">
        <v>134325</v>
      </c>
      <c r="G6" s="2">
        <v>55000</v>
      </c>
      <c r="H6" s="3">
        <v>32</v>
      </c>
      <c r="I6" s="2">
        <f>G6*H6/100</f>
        <v>17600</v>
      </c>
      <c r="J6" s="2">
        <f>I6*120</f>
        <v>2112000</v>
      </c>
      <c r="K6" s="4">
        <f>J6*0.0055/1000</f>
        <v>11.616</v>
      </c>
      <c r="L6" s="1" t="s">
        <v>17</v>
      </c>
    </row>
    <row r="7" spans="1:12" x14ac:dyDescent="0.35">
      <c r="A7" s="5" t="s">
        <v>24</v>
      </c>
      <c r="B7" s="5" t="s">
        <v>25</v>
      </c>
      <c r="C7" s="5" t="s">
        <v>16</v>
      </c>
      <c r="D7" s="5">
        <v>38.5244</v>
      </c>
      <c r="E7" s="5">
        <v>-8.8956999999999997</v>
      </c>
      <c r="F7" s="6">
        <v>89514</v>
      </c>
      <c r="G7" s="6">
        <v>36000</v>
      </c>
      <c r="H7" s="7">
        <v>34</v>
      </c>
      <c r="I7" s="6">
        <f>G7*H7/100</f>
        <v>12240</v>
      </c>
      <c r="J7" s="6">
        <f>I7*120</f>
        <v>1468800</v>
      </c>
      <c r="K7" s="8">
        <f>J7*0.0055/1000</f>
        <v>8.0784000000000002</v>
      </c>
      <c r="L7" s="5" t="s">
        <v>26</v>
      </c>
    </row>
    <row r="8" spans="1:12" x14ac:dyDescent="0.35">
      <c r="A8" s="1" t="s">
        <v>27</v>
      </c>
      <c r="B8" s="1" t="s">
        <v>28</v>
      </c>
      <c r="C8" s="1" t="s">
        <v>29</v>
      </c>
      <c r="D8" s="1">
        <v>37.019399999999997</v>
      </c>
      <c r="E8" s="1">
        <v>-7.9321999999999999</v>
      </c>
      <c r="F8" s="2">
        <v>58956</v>
      </c>
      <c r="G8" s="2">
        <v>24000</v>
      </c>
      <c r="H8" s="3">
        <v>30</v>
      </c>
      <c r="I8" s="2">
        <f>G8*H8/100</f>
        <v>7200</v>
      </c>
      <c r="J8" s="2">
        <f>I8*120</f>
        <v>864000</v>
      </c>
      <c r="K8" s="4">
        <f>J8*0.0055/1000</f>
        <v>4.7519999999999998</v>
      </c>
      <c r="L8" s="1" t="s">
        <v>17</v>
      </c>
    </row>
    <row r="9" spans="1:12" x14ac:dyDescent="0.35">
      <c r="A9" s="9" t="s">
        <v>30</v>
      </c>
      <c r="F9" s="10">
        <f>SUM(F4:F8)</f>
        <v>1059608</v>
      </c>
      <c r="G9" s="10">
        <f>SUM(G4:G8)</f>
        <v>422000</v>
      </c>
      <c r="I9" s="10">
        <f>SUM(I4:I8)</f>
        <v>142590</v>
      </c>
      <c r="J9" s="10">
        <f>SUM(J4:J8)</f>
        <v>17110800</v>
      </c>
      <c r="K9" s="10">
        <f>SUM(K4:K8)</f>
        <v>94.109399999999994</v>
      </c>
    </row>
  </sheetData>
  <mergeCells count="2">
    <mergeCell ref="A2:L2"/>
    <mergeCell ref="A1:L1"/>
  </mergeCells>
  <pageMargins left="0.75" right="0.75" top="1" bottom="1" header="0.5" footer="0.5"/>
  <headerFooter>
    <oddHeader>&amp;L&amp;"Aptos"&amp;10&amp;K000000 Internal - Unprotected&amp;1#_x000D_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pane ySplit="3" topLeftCell="A4" activePane="bottomLeft" state="frozen"/>
      <selection pane="bottomLeft" activeCell="D22" sqref="D22"/>
    </sheetView>
  </sheetViews>
  <sheetFormatPr defaultRowHeight="14.5" x14ac:dyDescent="0.35"/>
  <cols>
    <col min="1" max="1" width="12" customWidth="1"/>
    <col min="2" max="2" width="18" customWidth="1"/>
    <col min="3" max="3" width="14" customWidth="1"/>
    <col min="4" max="5" width="10" customWidth="1"/>
    <col min="6" max="6" width="16" customWidth="1"/>
    <col min="7" max="8" width="14" customWidth="1"/>
    <col min="9" max="9" width="20" customWidth="1"/>
    <col min="10" max="11" width="22" customWidth="1"/>
    <col min="12" max="12" width="24" customWidth="1"/>
    <col min="13" max="13" width="30" customWidth="1"/>
  </cols>
  <sheetData>
    <row r="1" spans="1:13" ht="28" customHeight="1" x14ac:dyDescent="0.35">
      <c r="A1" s="38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5">
      <c r="A2" s="36" t="s">
        <v>32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34" customHeight="1" x14ac:dyDescent="0.3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11</v>
      </c>
      <c r="L3" s="11" t="s">
        <v>12</v>
      </c>
      <c r="M3" s="11" t="s">
        <v>13</v>
      </c>
    </row>
    <row r="4" spans="1:13" x14ac:dyDescent="0.35">
      <c r="A4" s="1" t="s">
        <v>21</v>
      </c>
      <c r="B4" s="1" t="s">
        <v>22</v>
      </c>
      <c r="C4" s="1" t="s">
        <v>23</v>
      </c>
      <c r="D4" s="1">
        <v>40.203299999999999</v>
      </c>
      <c r="E4" s="1">
        <v>-8.4102999999999994</v>
      </c>
      <c r="F4" s="2">
        <v>4500</v>
      </c>
      <c r="G4" s="2">
        <v>12000</v>
      </c>
      <c r="H4" s="2">
        <v>80000</v>
      </c>
      <c r="I4" s="2">
        <v>18000</v>
      </c>
      <c r="J4" s="2">
        <v>5000</v>
      </c>
      <c r="K4" s="2">
        <f>I4*80+J4*60</f>
        <v>1740000</v>
      </c>
      <c r="L4" s="4">
        <f>K4*0.0055/1000</f>
        <v>9.57</v>
      </c>
      <c r="M4" s="1" t="s">
        <v>38</v>
      </c>
    </row>
    <row r="5" spans="1:13" x14ac:dyDescent="0.35">
      <c r="A5" s="5" t="s">
        <v>39</v>
      </c>
      <c r="B5" s="5" t="s">
        <v>40</v>
      </c>
      <c r="C5" s="5" t="s">
        <v>41</v>
      </c>
      <c r="D5" s="5">
        <v>38.566699999999997</v>
      </c>
      <c r="E5" s="5">
        <v>-7.9</v>
      </c>
      <c r="F5" s="6">
        <v>9800</v>
      </c>
      <c r="G5" s="6">
        <v>25000</v>
      </c>
      <c r="H5" s="6">
        <v>30000</v>
      </c>
      <c r="I5" s="6">
        <v>35000</v>
      </c>
      <c r="J5" s="6">
        <v>8000</v>
      </c>
      <c r="K5" s="6">
        <f>I5*80+J5*60</f>
        <v>3280000</v>
      </c>
      <c r="L5" s="8">
        <f>K5*0.0055/1000</f>
        <v>18.04</v>
      </c>
      <c r="M5" s="5" t="s">
        <v>38</v>
      </c>
    </row>
    <row r="6" spans="1:13" x14ac:dyDescent="0.35">
      <c r="A6" s="1" t="s">
        <v>42</v>
      </c>
      <c r="B6" s="1" t="s">
        <v>43</v>
      </c>
      <c r="C6" s="1" t="s">
        <v>20</v>
      </c>
      <c r="D6" s="1">
        <v>41.536700000000003</v>
      </c>
      <c r="E6" s="1">
        <v>-8.6180000000000003</v>
      </c>
      <c r="F6" s="2">
        <v>7200</v>
      </c>
      <c r="G6" s="2">
        <v>45000</v>
      </c>
      <c r="H6" s="2">
        <v>120000</v>
      </c>
      <c r="I6" s="2">
        <v>42000</v>
      </c>
      <c r="J6" s="2">
        <v>3000</v>
      </c>
      <c r="K6" s="2">
        <f>I6*80+J6*60</f>
        <v>3540000</v>
      </c>
      <c r="L6" s="4">
        <f>K6*0.0055/1000</f>
        <v>19.47</v>
      </c>
      <c r="M6" s="1" t="s">
        <v>44</v>
      </c>
    </row>
    <row r="7" spans="1:13" x14ac:dyDescent="0.35">
      <c r="A7" s="5" t="s">
        <v>45</v>
      </c>
      <c r="B7" s="5" t="s">
        <v>46</v>
      </c>
      <c r="C7" s="5" t="s">
        <v>23</v>
      </c>
      <c r="D7" s="5">
        <v>39.236899999999999</v>
      </c>
      <c r="E7" s="5">
        <v>-8.6881000000000004</v>
      </c>
      <c r="F7" s="6">
        <v>6100</v>
      </c>
      <c r="G7" s="6">
        <v>18000</v>
      </c>
      <c r="H7" s="6">
        <v>55000</v>
      </c>
      <c r="I7" s="6">
        <v>26000</v>
      </c>
      <c r="J7" s="6">
        <v>6500</v>
      </c>
      <c r="K7" s="6">
        <f>I7*80+J7*60</f>
        <v>2470000</v>
      </c>
      <c r="L7" s="8">
        <f>K7*0.0055/1000</f>
        <v>13.585000000000001</v>
      </c>
      <c r="M7" s="5" t="s">
        <v>26</v>
      </c>
    </row>
    <row r="8" spans="1:13" x14ac:dyDescent="0.35">
      <c r="A8" s="1" t="s">
        <v>47</v>
      </c>
      <c r="B8" s="1" t="s">
        <v>48</v>
      </c>
      <c r="C8" s="1" t="s">
        <v>20</v>
      </c>
      <c r="D8" s="1">
        <v>41.5518</v>
      </c>
      <c r="E8" s="1">
        <v>-8.4229000000000003</v>
      </c>
      <c r="F8" s="2">
        <v>3200</v>
      </c>
      <c r="G8" s="2">
        <v>8000</v>
      </c>
      <c r="H8" s="2">
        <v>90000</v>
      </c>
      <c r="I8" s="2">
        <v>15000</v>
      </c>
      <c r="J8" s="2">
        <v>2000</v>
      </c>
      <c r="K8" s="2">
        <f>I8*80+J8*60</f>
        <v>1320000</v>
      </c>
      <c r="L8" s="4">
        <f>K8*0.0055/1000</f>
        <v>7.26</v>
      </c>
      <c r="M8" s="1" t="s">
        <v>38</v>
      </c>
    </row>
    <row r="9" spans="1:13" x14ac:dyDescent="0.35">
      <c r="A9" s="12" t="s">
        <v>30</v>
      </c>
      <c r="F9" s="13">
        <f t="shared" ref="F9:L9" si="0">SUM(F4:F8)</f>
        <v>30800</v>
      </c>
      <c r="G9" s="13">
        <f t="shared" si="0"/>
        <v>108000</v>
      </c>
      <c r="H9" s="13">
        <f t="shared" si="0"/>
        <v>375000</v>
      </c>
      <c r="I9" s="13">
        <f t="shared" si="0"/>
        <v>136000</v>
      </c>
      <c r="J9" s="13">
        <f t="shared" si="0"/>
        <v>24500</v>
      </c>
      <c r="K9" s="13">
        <f t="shared" si="0"/>
        <v>12350000</v>
      </c>
      <c r="L9" s="13">
        <f t="shared" si="0"/>
        <v>67.924999999999997</v>
      </c>
    </row>
  </sheetData>
  <mergeCells count="2">
    <mergeCell ref="A2:M2"/>
    <mergeCell ref="A1:M1"/>
  </mergeCells>
  <pageMargins left="0.75" right="0.75" top="1" bottom="1" header="0.5" footer="0.5"/>
  <headerFooter>
    <oddHeader>&amp;L&amp;"Aptos"&amp;10&amp;K000000 Internal - Unprotected&amp;1#_x000D_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3" topLeftCell="A4" activePane="bottomLeft" state="frozen"/>
      <selection pane="bottomLeft" sqref="A1:L1"/>
    </sheetView>
  </sheetViews>
  <sheetFormatPr defaultRowHeight="14.5" x14ac:dyDescent="0.35"/>
  <cols>
    <col min="1" max="1" width="14" customWidth="1"/>
    <col min="2" max="2" width="22" customWidth="1"/>
    <col min="3" max="3" width="16" customWidth="1"/>
    <col min="4" max="4" width="14" customWidth="1"/>
    <col min="5" max="6" width="10" customWidth="1"/>
    <col min="7" max="7" width="16" customWidth="1"/>
    <col min="8" max="8" width="24" customWidth="1"/>
    <col min="9" max="9" width="26" customWidth="1"/>
    <col min="10" max="10" width="22" customWidth="1"/>
    <col min="11" max="11" width="24" customWidth="1"/>
    <col min="12" max="12" width="28" customWidth="1"/>
  </cols>
  <sheetData>
    <row r="1" spans="1:12" ht="28" customHeight="1" x14ac:dyDescent="0.35">
      <c r="A1" s="39" t="s">
        <v>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x14ac:dyDescent="0.35">
      <c r="A2" s="36" t="s">
        <v>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34" customHeight="1" x14ac:dyDescent="0.35">
      <c r="A3" s="14" t="s">
        <v>51</v>
      </c>
      <c r="B3" s="14" t="s">
        <v>52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53</v>
      </c>
      <c r="H3" s="14" t="s">
        <v>54</v>
      </c>
      <c r="I3" s="14" t="s">
        <v>55</v>
      </c>
      <c r="J3" s="14" t="s">
        <v>11</v>
      </c>
      <c r="K3" s="14" t="s">
        <v>12</v>
      </c>
      <c r="L3" s="14" t="s">
        <v>56</v>
      </c>
    </row>
    <row r="4" spans="1:12" x14ac:dyDescent="0.35">
      <c r="A4" s="1" t="s">
        <v>57</v>
      </c>
      <c r="B4" s="1" t="s">
        <v>58</v>
      </c>
      <c r="C4" s="1" t="s">
        <v>15</v>
      </c>
      <c r="D4" s="1" t="s">
        <v>16</v>
      </c>
      <c r="E4" s="1">
        <v>38.772300000000001</v>
      </c>
      <c r="F4" s="1">
        <v>-9.0892999999999997</v>
      </c>
      <c r="G4" s="2">
        <v>180000</v>
      </c>
      <c r="H4" s="2">
        <v>12000</v>
      </c>
      <c r="I4" s="2">
        <v>8500</v>
      </c>
      <c r="J4" s="2">
        <f>H4*300</f>
        <v>3600000</v>
      </c>
      <c r="K4" s="4">
        <f>J4*0.0055/1000</f>
        <v>19.8</v>
      </c>
      <c r="L4" s="1" t="s">
        <v>59</v>
      </c>
    </row>
    <row r="5" spans="1:12" x14ac:dyDescent="0.35">
      <c r="A5" s="5" t="s">
        <v>60</v>
      </c>
      <c r="B5" s="5" t="s">
        <v>61</v>
      </c>
      <c r="C5" s="5" t="s">
        <v>19</v>
      </c>
      <c r="D5" s="5" t="s">
        <v>20</v>
      </c>
      <c r="E5" s="5">
        <v>41.11</v>
      </c>
      <c r="F5" s="5">
        <v>-8.64</v>
      </c>
      <c r="G5" s="6">
        <v>95000</v>
      </c>
      <c r="H5" s="6">
        <v>6800</v>
      </c>
      <c r="I5" s="6">
        <v>5000</v>
      </c>
      <c r="J5" s="6">
        <f>H5*300</f>
        <v>2040000</v>
      </c>
      <c r="K5" s="8">
        <f>J5*0.0055/1000</f>
        <v>11.22</v>
      </c>
      <c r="L5" s="5" t="s">
        <v>62</v>
      </c>
    </row>
    <row r="6" spans="1:12" x14ac:dyDescent="0.35">
      <c r="A6" s="1" t="s">
        <v>63</v>
      </c>
      <c r="B6" s="1" t="s">
        <v>64</v>
      </c>
      <c r="C6" s="1" t="s">
        <v>22</v>
      </c>
      <c r="D6" s="1" t="s">
        <v>23</v>
      </c>
      <c r="E6" s="1">
        <v>40.185000000000002</v>
      </c>
      <c r="F6" s="1">
        <v>-8.42</v>
      </c>
      <c r="G6" s="2">
        <v>55000</v>
      </c>
      <c r="H6" s="2">
        <v>3500</v>
      </c>
      <c r="I6" s="2">
        <v>2400</v>
      </c>
      <c r="J6" s="2">
        <f>H6*300</f>
        <v>1050000</v>
      </c>
      <c r="K6" s="4">
        <f>J6*0.0055/1000</f>
        <v>5.7750000000000004</v>
      </c>
      <c r="L6" s="1" t="s">
        <v>65</v>
      </c>
    </row>
    <row r="7" spans="1:12" x14ac:dyDescent="0.35">
      <c r="A7" s="5" t="s">
        <v>66</v>
      </c>
      <c r="B7" s="5" t="s">
        <v>67</v>
      </c>
      <c r="C7" s="5" t="s">
        <v>68</v>
      </c>
      <c r="D7" s="5" t="s">
        <v>23</v>
      </c>
      <c r="E7" s="5">
        <v>40.69</v>
      </c>
      <c r="F7" s="5">
        <v>-8.57</v>
      </c>
      <c r="G7" s="6">
        <v>42000</v>
      </c>
      <c r="H7" s="6">
        <v>2800</v>
      </c>
      <c r="I7" s="6">
        <v>1900</v>
      </c>
      <c r="J7" s="6">
        <f>H7*300</f>
        <v>840000</v>
      </c>
      <c r="K7" s="8">
        <f>J7*0.0055/1000</f>
        <v>4.62</v>
      </c>
      <c r="L7" s="5" t="s">
        <v>69</v>
      </c>
    </row>
    <row r="8" spans="1:12" x14ac:dyDescent="0.35">
      <c r="A8" s="1" t="s">
        <v>70</v>
      </c>
      <c r="B8" s="1" t="s">
        <v>71</v>
      </c>
      <c r="C8" s="1" t="s">
        <v>28</v>
      </c>
      <c r="D8" s="1" t="s">
        <v>29</v>
      </c>
      <c r="E8" s="1">
        <v>37.015000000000001</v>
      </c>
      <c r="F8" s="1">
        <v>-7.9</v>
      </c>
      <c r="G8" s="2">
        <v>38000</v>
      </c>
      <c r="H8" s="2">
        <v>2200</v>
      </c>
      <c r="I8" s="2">
        <v>1400</v>
      </c>
      <c r="J8" s="2">
        <f>H8*300</f>
        <v>660000</v>
      </c>
      <c r="K8" s="4">
        <f>J8*0.0055/1000</f>
        <v>3.63</v>
      </c>
      <c r="L8" s="1" t="s">
        <v>72</v>
      </c>
    </row>
    <row r="9" spans="1:12" x14ac:dyDescent="0.35">
      <c r="A9" s="15" t="s">
        <v>30</v>
      </c>
      <c r="G9" s="16">
        <f>SUM(G4:G8)</f>
        <v>410000</v>
      </c>
      <c r="H9" s="16">
        <f>SUM(H4:H8)</f>
        <v>27300</v>
      </c>
      <c r="I9" s="16">
        <f>SUM(I4:I8)</f>
        <v>19200</v>
      </c>
      <c r="J9" s="16">
        <f>SUM(J4:J8)</f>
        <v>8190000</v>
      </c>
      <c r="K9" s="16">
        <f>SUM(K4:K8)</f>
        <v>45.045000000000002</v>
      </c>
    </row>
  </sheetData>
  <mergeCells count="2">
    <mergeCell ref="A2:L2"/>
    <mergeCell ref="A1:L1"/>
  </mergeCells>
  <pageMargins left="0.75" right="0.75" top="1" bottom="1" header="0.5" footer="0.5"/>
  <headerFooter>
    <oddHeader>&amp;L&amp;"Aptos"&amp;10&amp;K000000 Internal - Unprotected&amp;1#_x000D_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1"/>
    </sheetView>
  </sheetViews>
  <sheetFormatPr defaultRowHeight="14.5" x14ac:dyDescent="0.35"/>
  <cols>
    <col min="1" max="1" width="32" customWidth="1"/>
    <col min="2" max="3" width="22" customWidth="1"/>
    <col min="4" max="4" width="24" customWidth="1"/>
    <col min="5" max="6" width="26" customWidth="1"/>
    <col min="7" max="7" width="14" customWidth="1"/>
  </cols>
  <sheetData>
    <row r="1" spans="1:7" ht="32" customHeight="1" x14ac:dyDescent="0.35">
      <c r="A1" s="40" t="s">
        <v>73</v>
      </c>
      <c r="B1" s="37"/>
      <c r="C1" s="37"/>
      <c r="D1" s="37"/>
      <c r="E1" s="37"/>
      <c r="F1" s="37"/>
      <c r="G1" s="37"/>
    </row>
    <row r="2" spans="1:7" x14ac:dyDescent="0.35">
      <c r="A2" s="36" t="s">
        <v>74</v>
      </c>
      <c r="B2" s="37"/>
      <c r="C2" s="37"/>
      <c r="D2" s="37"/>
      <c r="E2" s="37"/>
      <c r="F2" s="37"/>
      <c r="G2" s="37"/>
    </row>
    <row r="3" spans="1:7" ht="34" customHeight="1" x14ac:dyDescent="0.35">
      <c r="A3" s="17" t="s">
        <v>75</v>
      </c>
      <c r="B3" s="17" t="s">
        <v>76</v>
      </c>
      <c r="C3" s="17" t="s">
        <v>77</v>
      </c>
      <c r="D3" s="17" t="s">
        <v>78</v>
      </c>
      <c r="E3" s="17" t="s">
        <v>11</v>
      </c>
      <c r="F3" s="17" t="s">
        <v>79</v>
      </c>
      <c r="G3" s="17" t="s">
        <v>80</v>
      </c>
    </row>
    <row r="4" spans="1:7" x14ac:dyDescent="0.35">
      <c r="A4" s="18" t="s">
        <v>81</v>
      </c>
      <c r="B4" s="18" t="s">
        <v>82</v>
      </c>
      <c r="C4" s="18">
        <f>COUNTA(RSU!B4:B1000)-1</f>
        <v>4</v>
      </c>
      <c r="D4" s="19">
        <f>RSU!G9</f>
        <v>422000</v>
      </c>
      <c r="E4" s="19">
        <f>RSU!J9</f>
        <v>17110800</v>
      </c>
      <c r="F4" s="20">
        <f>RSU!K9</f>
        <v>94.109399999999994</v>
      </c>
      <c r="G4" s="21">
        <f>F4/SUM($F$4:$F$6)</f>
        <v>0.45446046299149012</v>
      </c>
    </row>
    <row r="5" spans="1:7" x14ac:dyDescent="0.35">
      <c r="A5" s="22" t="s">
        <v>83</v>
      </c>
      <c r="B5" s="22" t="s">
        <v>84</v>
      </c>
      <c r="C5" s="22">
        <f>COUNTA('Agropecuário e Florestal'!B4:B1000)-1</f>
        <v>4</v>
      </c>
      <c r="D5" s="23">
        <f>'Agropecuário e Florestal'!I9</f>
        <v>136000</v>
      </c>
      <c r="E5" s="23">
        <f>'Agropecuário e Florestal'!K9</f>
        <v>12350000</v>
      </c>
      <c r="F5" s="24">
        <f>'Agropecuário e Florestal'!L9</f>
        <v>67.924999999999997</v>
      </c>
      <c r="G5" s="25">
        <f>F5/SUM($F$4:$F$6)</f>
        <v>0.32801427858106597</v>
      </c>
    </row>
    <row r="6" spans="1:7" x14ac:dyDescent="0.35">
      <c r="A6" s="26" t="s">
        <v>85</v>
      </c>
      <c r="B6" s="26" t="s">
        <v>86</v>
      </c>
      <c r="C6" s="26">
        <f>COUNTA(ETAR!C4:C1000)-1</f>
        <v>4</v>
      </c>
      <c r="D6" s="27">
        <f>ETAR!H9</f>
        <v>27300</v>
      </c>
      <c r="E6" s="27">
        <f>ETAR!J9</f>
        <v>8190000</v>
      </c>
      <c r="F6" s="28">
        <f>ETAR!K9</f>
        <v>45.045000000000002</v>
      </c>
      <c r="G6" s="29">
        <f>F6/SUM($F$4:$F$6)</f>
        <v>0.21752525842744375</v>
      </c>
    </row>
    <row r="7" spans="1:7" x14ac:dyDescent="0.35">
      <c r="A7" s="41" t="s">
        <v>87</v>
      </c>
      <c r="B7" s="42"/>
      <c r="C7" s="30">
        <f>SUM(C4:C6)</f>
        <v>12</v>
      </c>
      <c r="D7" s="31">
        <f>SUM(D4:D6)</f>
        <v>585300</v>
      </c>
      <c r="E7" s="31">
        <f>SUM(E4:E6)</f>
        <v>37650800</v>
      </c>
      <c r="F7" s="32">
        <f>SUM(F4:F6)</f>
        <v>207.07940000000002</v>
      </c>
      <c r="G7" s="30">
        <f>SUM(G4:G6)</f>
        <v>0.99999999999999989</v>
      </c>
    </row>
  </sheetData>
  <mergeCells count="3">
    <mergeCell ref="A2:G2"/>
    <mergeCell ref="A1:G1"/>
    <mergeCell ref="A7:B7"/>
  </mergeCells>
  <pageMargins left="0.75" right="0.75" top="1" bottom="1" header="0.5" footer="0.5"/>
  <headerFooter>
    <oddHeader>&amp;L&amp;"Aptos"&amp;10&amp;K000000 Internal - Unprotected&amp;1#_x000D_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RSU</vt:lpstr>
      <vt:lpstr>Agropecuário e Florestal</vt:lpstr>
      <vt:lpstr>ETAR</vt:lpstr>
      <vt:lpstr>Resumo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Estela Leandro</cp:lastModifiedBy>
  <dcterms:created xsi:type="dcterms:W3CDTF">2026-04-20T11:10:15Z</dcterms:created>
  <dcterms:modified xsi:type="dcterms:W3CDTF">2026-04-20T13:16:17Z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f273ec-414b-49a7-af37-d94856a9cfa0_Enabled">
    <vt:lpwstr>true</vt:lpwstr>
  </property>
  <property fmtid="{D5CDD505-2E9C-101B-9397-08002B2CF9AE}" pid="3" name="MSIP_Label_78f273ec-414b-49a7-af37-d94856a9cfa0_SetDate">
    <vt:lpwstr>2026-04-20T13:14:00Z</vt:lpwstr>
  </property>
  <property fmtid="{D5CDD505-2E9C-101B-9397-08002B2CF9AE}" pid="4" name="MSIP_Label_78f273ec-414b-49a7-af37-d94856a9cfa0_Method">
    <vt:lpwstr>Standard</vt:lpwstr>
  </property>
  <property fmtid="{D5CDD505-2E9C-101B-9397-08002B2CF9AE}" pid="5" name="MSIP_Label_78f273ec-414b-49a7-af37-d94856a9cfa0_Name">
    <vt:lpwstr>Interno - Desprotegido</vt:lpwstr>
  </property>
  <property fmtid="{D5CDD505-2E9C-101B-9397-08002B2CF9AE}" pid="6" name="MSIP_Label_78f273ec-414b-49a7-af37-d94856a9cfa0_SiteId">
    <vt:lpwstr>885d10bb-135c-47df-bf6e-e86261b8c13b</vt:lpwstr>
  </property>
  <property fmtid="{D5CDD505-2E9C-101B-9397-08002B2CF9AE}" pid="7" name="MSIP_Label_78f273ec-414b-49a7-af37-d94856a9cfa0_ActionId">
    <vt:lpwstr>0a055fb7-6bef-4ad2-8d0d-9417b89c52ef</vt:lpwstr>
  </property>
  <property fmtid="{D5CDD505-2E9C-101B-9397-08002B2CF9AE}" pid="8" name="MSIP_Label_78f273ec-414b-49a7-af37-d94856a9cfa0_ContentBits">
    <vt:lpwstr>1</vt:lpwstr>
  </property>
  <property fmtid="{D5CDD505-2E9C-101B-9397-08002B2CF9AE}" pid="9" name="MSIP_Label_78f273ec-414b-49a7-af37-d94856a9cfa0_Tag">
    <vt:lpwstr>10, 3, 0, 1</vt:lpwstr>
  </property>
</Properties>
</file>